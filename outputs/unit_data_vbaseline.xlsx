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Program\MechabellumData\"/>
    </mc:Choice>
  </mc:AlternateContent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<sst xmlns="http://schemas.openxmlformats.org/spreadsheetml/2006/main" count="73" uniqueCount="70">
  <si>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兵种名称</t>
  </si>
  <si>
    <t>造价</t>
  </si>
  <si>
    <t>单体血量</t>
  </si>
  <si>
    <t>移速</t>
  </si>
  <si>
    <t>攻击力</t>
  </si>
  <si>
    <t>对单输出</t>
  </si>
  <si>
    <t>爆发峰值</t>
  </si>
  <si>
    <t>对单DPS</t>
  </si>
  <si>
    <t>溅射范围</t>
  </si>
  <si>
    <t>攻击间隔</t>
  </si>
  <si>
    <t>射程</t>
  </si>
  <si>
    <t>对空</t>
  </si>
  <si>
    <t>数量</t>
  </si>
  <si>
    <t>占用格子</t>
  </si>
  <si>
    <t>解锁费用</t>
  </si>
  <si>
    <t>伤害血量</t>
  </si>
  <si>
    <t>升级经验要求</t>
  </si>
  <si>
    <t>提供经验</t>
  </si>
  <si>
    <t>防御墙</t>
  </si>
  <si>
    <t>5*6</t>
  </si>
  <si>
    <t>速射炮</t>
  </si>
  <si>
    <t>弧光</t>
  </si>
  <si>
    <t>猎犬</t>
  </si>
  <si>
    <t>5*20</t>
  </si>
  <si>
    <t>反装甲炮</t>
  </si>
  <si>
    <t>长弓</t>
  </si>
  <si>
    <t>磁暴</t>
  </si>
  <si>
    <t>魔眼</t>
  </si>
  <si>
    <t>3*33</t>
  </si>
  <si>
    <t>爬虫</t>
  </si>
  <si>
    <t>24*4</t>
  </si>
  <si>
    <t>尖牙</t>
  </si>
  <si>
    <t>18*6</t>
  </si>
  <si>
    <t>火獾</t>
  </si>
  <si>
    <t>3*67</t>
  </si>
  <si>
    <t>犀牛</t>
  </si>
  <si>
    <t>暴雨</t>
  </si>
  <si>
    <t>50*4</t>
  </si>
  <si>
    <t>剑齿虎</t>
  </si>
  <si>
    <t>铁锤</t>
  </si>
  <si>
    <t>5*40</t>
  </si>
  <si>
    <t>狼蛛</t>
  </si>
  <si>
    <t>鬼鳐</t>
  </si>
  <si>
    <t>凤凰</t>
  </si>
  <si>
    <t>100*2</t>
  </si>
  <si>
    <t>钢球</t>
  </si>
  <si>
    <t>骇客</t>
  </si>
  <si>
    <t>兵峰</t>
  </si>
  <si>
    <t>12*17</t>
  </si>
  <si>
    <t>野马</t>
  </si>
  <si>
    <t>狂蝎</t>
  </si>
  <si>
    <t>先知</t>
  </si>
  <si>
    <t>恶灵</t>
  </si>
  <si>
    <t>台风</t>
  </si>
  <si>
    <t>125*2</t>
  </si>
  <si>
    <t>火神</t>
  </si>
  <si>
    <t>沙虫</t>
  </si>
  <si>
    <t>350+12</t>
  </si>
  <si>
    <t>堡垒</t>
  </si>
  <si>
    <t>熔点</t>
  </si>
  <si>
    <t>雷霆</t>
  </si>
  <si>
    <t>霸主</t>
  </si>
  <si>
    <t>深渊</t>
  </si>
  <si>
    <t>泰山</t>
  </si>
  <si>
    <t>战争工厂</t>
  </si>
  <si>
    <t>丧钟</t>
  </si>
  <si>
    <t>？</t>
  </si>
  <si>
    <t>补充描述</t>
  </si>
  <si>
    <t>米/秒</t>
  </si>
  <si>
    <t>2N-1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</si>
</sst>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4">
    <font>
      <sz val="11"/>
      <color theme="1"/>
      <name val="等线"/>
      <charset val="134"/>
      <scheme val="minor"/>
    </font>
    <font>
      <b/>
      <sz val="10"/>
      <color rgb="FF000000"/>
      <name val="Microsoft YaHei"/>
      <charset val="134"/>
    </font>
    <font>
      <sz val="11"/>
      <color rgb="FF000000"/>
      <name val="等线"/>
      <charset val="134"/>
      <scheme val="minor"/>
    </font>
    <font>
      <sz val="10"/>
      <color rgb="FF000000"/>
      <name val="Microsoft YaHei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9D7EA"/>
        <bgColor indexed="64"/>
      </patternFill>
    </fill>
    <fill>
      <patternFill patternType="solid">
        <fgColor rgb="FFD6E6F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7FB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8FAADC"/>
      </left>
      <right/>
      <top style="thin">
        <color rgb="FFB9D7EA"/>
      </top>
      <bottom style="thin">
        <color rgb="FFB9D7EA"/>
      </bottom>
      <diagonal/>
    </border>
    <border>
      <left/>
      <right/>
      <top style="thin">
        <color rgb="FFB9D7EA"/>
      </top>
      <bottom style="thin">
        <color rgb="FFB9D7EA"/>
      </bottom>
      <diagonal/>
    </border>
    <border>
      <left/>
      <right style="thin">
        <color rgb="FF8FAADC"/>
      </right>
      <top style="thin">
        <color rgb="FFB9D7EA"/>
      </top>
      <bottom style="thin">
        <color rgb="FFB9D7EA"/>
      </bottom>
      <diagonal/>
    </border>
    <border>
      <left style="thin">
        <color rgb="FF8FAADC"/>
      </left>
      <right/>
      <top style="thin">
        <color rgb="FF8FAADC"/>
      </top>
      <bottom style="dashed">
        <color rgb="FFDDDDDD"/>
      </bottom>
      <diagonal/>
    </border>
    <border>
      <left/>
      <right/>
      <top style="thin">
        <color rgb="FF8FAADC"/>
      </top>
      <bottom style="dashed">
        <color rgb="FFDDDDDD"/>
      </bottom>
      <diagonal/>
    </border>
    <border>
      <left/>
      <right style="thin">
        <color rgb="FF8FAADC"/>
      </right>
      <top style="thin">
        <color rgb="FF8FAADC"/>
      </top>
      <bottom style="dashed">
        <color rgb="FFDDDDDD"/>
      </bottom>
      <diagonal/>
    </border>
    <border>
      <left style="thin">
        <color rgb="FF8FAADC"/>
      </left>
      <right/>
      <top style="dashed">
        <color rgb="FFDDDDDD"/>
      </top>
      <bottom style="dashed">
        <color rgb="FFDDDDDD"/>
      </bottom>
      <diagonal/>
    </border>
    <border>
      <left/>
      <right/>
      <top style="dashed">
        <color rgb="FFDDDDDD"/>
      </top>
      <bottom style="dashed">
        <color rgb="FFDDDDDD"/>
      </bottom>
      <diagonal/>
    </border>
    <border>
      <left/>
      <right style="thin">
        <color rgb="FF8FAADC"/>
      </right>
      <top style="dashed">
        <color rgb="FFDDDDDD"/>
      </top>
      <bottom style="dashed">
        <color rgb="FFDDDDDD"/>
      </bottom>
      <diagonal/>
    </border>
    <border>
      <left/>
      <right/>
      <top style="dashed">
        <color rgb="FFDDDDDD"/>
      </top>
      <bottom style="thin">
        <color rgb="FFB9D7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176" fontId="3" fillId="5" borderId="8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3" fontId="3" fillId="4" borderId="8" xfId="0" applyNumberFormat="1" applyFont="1" applyFill="1" applyBorder="1" applyAlignment="1">
      <alignment horizontal="center" vertical="center" wrapText="1"/>
    </xf>
    <xf numFmtId="3" fontId="3" fillId="5" borderId="8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77" fontId="3" fillId="5" borderId="8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abSelected="1" zoomScale="130" zoomScaleNormal="130" workbookViewId="0">
      <pane xSplit="1" ySplit="1" topLeftCell="B2" activePane="bottomRight" state="frozen"/>
      <selection/>
      <selection pane="topRight"/>
      <selection pane="bottomLeft"/>
      <selection pane="bottomRight" activeCell="G14" sqref="G14"/>
    </sheetView>
  </sheetViews>
  <sheetFormatPr defaultColWidth="9" defaultRowHeight="14.1"/>
  <cols>
    <col min="8" max="8" width="11.6833333333333"/>
  </cols>
  <sheetData>
    <row r="1" ht="29.15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/>
      <c r="T1" s="4"/>
      <c r="U1" s="4"/>
      <c r="V1" s="4"/>
    </row>
    <row r="2" spans="1:22">
      <c r="A2" s="5" t="s">
        <v>18</v>
      </c>
      <c r="B2" s="6">
        <v>50</v>
      </c>
      <c r="C2" s="6">
        <v>1112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5</v>
      </c>
      <c r="N2" s="6">
        <v>6</v>
      </c>
      <c r="O2" s="6">
        <v>0</v>
      </c>
      <c r="P2" s="6">
        <v>0</v>
      </c>
      <c r="Q2" s="6">
        <v>0</v>
      </c>
      <c r="R2" s="7" t="s">
        <v>19</v>
      </c>
      <c r="S2" s="4"/>
      <c r="T2" s="4"/>
      <c r="U2" s="4"/>
      <c r="V2" s="4"/>
    </row>
    <row r="3" spans="1:22">
      <c r="A3" s="8" t="s">
        <v>20</v>
      </c>
      <c r="B3" s="9">
        <v>100</v>
      </c>
      <c r="C3" s="9">
        <v>3650</v>
      </c>
      <c r="D3" s="9">
        <v>0</v>
      </c>
      <c r="E3" s="9">
        <v>82</v>
      </c>
      <c r="F3" s="9">
        <v>82</v>
      </c>
      <c r="G3" s="9">
        <f>F3*M3</f>
        <v>82</v>
      </c>
      <c r="H3" s="10">
        <f>F3/J3</f>
        <v>273.333333333333</v>
      </c>
      <c r="I3" s="9">
        <v>10</v>
      </c>
      <c r="J3" s="9">
        <v>0.3</v>
      </c>
      <c r="K3" s="9">
        <v>115</v>
      </c>
      <c r="L3" s="9">
        <v>0</v>
      </c>
      <c r="M3" s="9">
        <v>1</v>
      </c>
      <c r="N3" s="9">
        <v>4</v>
      </c>
      <c r="O3" s="9">
        <v>0</v>
      </c>
      <c r="P3" s="9">
        <v>0</v>
      </c>
      <c r="Q3" s="9">
        <v>0</v>
      </c>
      <c r="R3" s="11">
        <v>60</v>
      </c>
      <c r="S3" s="4"/>
      <c r="T3" s="4"/>
      <c r="U3" s="4"/>
      <c r="V3" s="4"/>
    </row>
    <row r="4" spans="1:22">
      <c r="A4" s="8" t="s">
        <v>21</v>
      </c>
      <c r="B4" s="9">
        <v>100</v>
      </c>
      <c r="C4" s="9">
        <v>4813</v>
      </c>
      <c r="D4" s="9">
        <v>7</v>
      </c>
      <c r="E4" s="9">
        <v>365</v>
      </c>
      <c r="F4" s="9">
        <v>365</v>
      </c>
      <c r="G4" s="9">
        <f t="shared" ref="G4:G37" si="0">F4*M4</f>
        <v>365</v>
      </c>
      <c r="H4" s="10">
        <f t="shared" ref="H4:H37" si="1">F4/J4</f>
        <v>405.555555555556</v>
      </c>
      <c r="I4" s="9">
        <v>7</v>
      </c>
      <c r="J4" s="9">
        <v>0.9</v>
      </c>
      <c r="K4" s="9">
        <v>95</v>
      </c>
      <c r="L4" s="9">
        <v>0.5</v>
      </c>
      <c r="M4" s="9">
        <v>1</v>
      </c>
      <c r="N4" s="9">
        <v>4</v>
      </c>
      <c r="O4" s="9">
        <v>0</v>
      </c>
      <c r="P4" s="9">
        <v>100</v>
      </c>
      <c r="Q4" s="9">
        <v>750</v>
      </c>
      <c r="R4" s="12">
        <v>200</v>
      </c>
      <c r="S4" s="4"/>
      <c r="T4" s="4"/>
      <c r="U4" s="4"/>
      <c r="V4" s="4"/>
    </row>
    <row r="5" spans="1:22">
      <c r="A5" s="8" t="s">
        <v>22</v>
      </c>
      <c r="B5" s="13">
        <v>100</v>
      </c>
      <c r="C5" s="13">
        <v>879</v>
      </c>
      <c r="D5" s="13">
        <v>10</v>
      </c>
      <c r="E5" s="13">
        <v>246</v>
      </c>
      <c r="F5" s="13">
        <v>246</v>
      </c>
      <c r="G5" s="9">
        <f t="shared" si="0"/>
        <v>1230</v>
      </c>
      <c r="H5" s="10">
        <f t="shared" si="1"/>
        <v>102.5</v>
      </c>
      <c r="I5" s="13">
        <v>6</v>
      </c>
      <c r="J5" s="13">
        <v>2.4</v>
      </c>
      <c r="K5" s="13">
        <v>70</v>
      </c>
      <c r="L5" s="13">
        <v>0</v>
      </c>
      <c r="M5" s="13">
        <v>5</v>
      </c>
      <c r="N5" s="13">
        <v>8</v>
      </c>
      <c r="O5" s="13">
        <v>0</v>
      </c>
      <c r="P5" s="13" t="s">
        <v>23</v>
      </c>
      <c r="Q5" s="13">
        <v>750</v>
      </c>
      <c r="R5" s="11">
        <v>200</v>
      </c>
      <c r="S5" s="4"/>
      <c r="T5" s="4"/>
      <c r="U5" s="4"/>
      <c r="V5" s="4"/>
    </row>
    <row r="6" spans="1:22">
      <c r="A6" s="8" t="s">
        <v>24</v>
      </c>
      <c r="B6" s="13">
        <v>100</v>
      </c>
      <c r="C6" s="13">
        <v>5028</v>
      </c>
      <c r="D6" s="13">
        <v>0</v>
      </c>
      <c r="E6" s="13">
        <v>2748</v>
      </c>
      <c r="F6" s="13">
        <v>2748</v>
      </c>
      <c r="G6" s="9">
        <f t="shared" si="0"/>
        <v>2748</v>
      </c>
      <c r="H6" s="10">
        <f t="shared" si="1"/>
        <v>1099.2</v>
      </c>
      <c r="I6" s="13">
        <v>5</v>
      </c>
      <c r="J6" s="13">
        <v>2.5</v>
      </c>
      <c r="K6" s="13">
        <v>125</v>
      </c>
      <c r="L6" s="13">
        <v>0</v>
      </c>
      <c r="M6" s="13">
        <v>1</v>
      </c>
      <c r="N6" s="13">
        <v>4</v>
      </c>
      <c r="O6" s="13">
        <v>0</v>
      </c>
      <c r="P6" s="13">
        <v>0</v>
      </c>
      <c r="Q6" s="13">
        <v>0</v>
      </c>
      <c r="R6" s="11">
        <v>60</v>
      </c>
      <c r="S6" s="14"/>
      <c r="T6" s="14"/>
      <c r="U6" s="14"/>
      <c r="V6" s="14"/>
    </row>
    <row r="7" spans="1:22">
      <c r="A7" s="8" t="s">
        <v>25</v>
      </c>
      <c r="B7" s="13">
        <v>100</v>
      </c>
      <c r="C7" s="13">
        <v>1622</v>
      </c>
      <c r="D7" s="13">
        <v>8</v>
      </c>
      <c r="E7" s="13">
        <v>2329</v>
      </c>
      <c r="F7" s="13">
        <v>2329</v>
      </c>
      <c r="G7" s="9">
        <f t="shared" si="0"/>
        <v>2329</v>
      </c>
      <c r="H7" s="10">
        <f t="shared" si="1"/>
        <v>751.290322580645</v>
      </c>
      <c r="I7" s="13">
        <v>0</v>
      </c>
      <c r="J7" s="13">
        <v>3.1</v>
      </c>
      <c r="K7" s="13">
        <v>140</v>
      </c>
      <c r="L7" s="13">
        <v>1</v>
      </c>
      <c r="M7" s="13">
        <v>1</v>
      </c>
      <c r="N7" s="13">
        <v>4</v>
      </c>
      <c r="O7" s="13">
        <v>0</v>
      </c>
      <c r="P7" s="13">
        <v>100</v>
      </c>
      <c r="Q7" s="13">
        <v>650</v>
      </c>
      <c r="R7" s="11">
        <v>200</v>
      </c>
      <c r="S7" s="4"/>
      <c r="T7" s="4"/>
      <c r="U7" s="4"/>
      <c r="V7" s="4"/>
    </row>
    <row r="8" spans="1:22">
      <c r="A8" s="8" t="s">
        <v>26</v>
      </c>
      <c r="B8" s="13">
        <v>100</v>
      </c>
      <c r="C8" s="13">
        <v>7425</v>
      </c>
      <c r="D8" s="13">
        <v>8</v>
      </c>
      <c r="E8" s="13">
        <v>1309</v>
      </c>
      <c r="F8" s="13">
        <v>1309</v>
      </c>
      <c r="G8" s="9">
        <f t="shared" si="0"/>
        <v>1309</v>
      </c>
      <c r="H8" s="10">
        <f t="shared" si="1"/>
        <v>872.666666666667</v>
      </c>
      <c r="I8" s="13">
        <v>0</v>
      </c>
      <c r="J8" s="13">
        <v>1.5</v>
      </c>
      <c r="K8" s="13">
        <v>85</v>
      </c>
      <c r="L8" s="13">
        <v>0</v>
      </c>
      <c r="M8" s="13">
        <v>1</v>
      </c>
      <c r="N8" s="13">
        <v>4</v>
      </c>
      <c r="O8" s="13">
        <v>0</v>
      </c>
      <c r="P8" s="13">
        <v>100</v>
      </c>
      <c r="Q8" s="13">
        <v>750</v>
      </c>
      <c r="R8" s="11">
        <v>200</v>
      </c>
      <c r="S8" s="4"/>
      <c r="T8" s="4"/>
      <c r="U8" s="4"/>
      <c r="V8" s="4"/>
    </row>
    <row r="9" spans="1:22">
      <c r="A9" s="8" t="s">
        <v>27</v>
      </c>
      <c r="B9" s="9">
        <v>100</v>
      </c>
      <c r="C9" s="9">
        <v>1522</v>
      </c>
      <c r="D9" s="9">
        <v>8</v>
      </c>
      <c r="E9" s="9">
        <v>995</v>
      </c>
      <c r="F9" s="9">
        <v>995</v>
      </c>
      <c r="G9" s="9">
        <f t="shared" si="0"/>
        <v>2985</v>
      </c>
      <c r="H9" s="10">
        <f t="shared" si="1"/>
        <v>301.515151515152</v>
      </c>
      <c r="I9" s="9">
        <v>0</v>
      </c>
      <c r="J9" s="9">
        <v>3.3</v>
      </c>
      <c r="K9" s="9">
        <v>100</v>
      </c>
      <c r="L9" s="9">
        <v>0.5</v>
      </c>
      <c r="M9" s="9">
        <v>3</v>
      </c>
      <c r="N9" s="9">
        <v>8</v>
      </c>
      <c r="O9" s="9">
        <v>0</v>
      </c>
      <c r="P9" s="9" t="s">
        <v>28</v>
      </c>
      <c r="Q9" s="9">
        <v>650</v>
      </c>
      <c r="R9" s="12">
        <v>198</v>
      </c>
      <c r="S9" s="4"/>
      <c r="T9" s="4"/>
      <c r="U9" s="4"/>
      <c r="V9" s="4"/>
    </row>
    <row r="10" spans="1:22">
      <c r="A10" s="8" t="s">
        <v>29</v>
      </c>
      <c r="B10" s="13">
        <v>100</v>
      </c>
      <c r="C10" s="13">
        <v>263</v>
      </c>
      <c r="D10" s="13">
        <v>16</v>
      </c>
      <c r="E10" s="13">
        <v>79</v>
      </c>
      <c r="F10" s="13">
        <v>79</v>
      </c>
      <c r="G10" s="9">
        <f t="shared" si="0"/>
        <v>1896</v>
      </c>
      <c r="H10" s="10">
        <f t="shared" si="1"/>
        <v>131.666666666667</v>
      </c>
      <c r="I10" s="13">
        <v>0</v>
      </c>
      <c r="J10" s="13">
        <v>0.6</v>
      </c>
      <c r="K10" s="13">
        <v>0</v>
      </c>
      <c r="L10" s="13">
        <v>0</v>
      </c>
      <c r="M10" s="13">
        <v>24</v>
      </c>
      <c r="N10" s="13">
        <v>10</v>
      </c>
      <c r="O10" s="13">
        <v>0</v>
      </c>
      <c r="P10" s="13" t="s">
        <v>30</v>
      </c>
      <c r="Q10" s="13">
        <v>450</v>
      </c>
      <c r="R10" s="11">
        <v>192</v>
      </c>
      <c r="S10" s="4"/>
      <c r="T10" s="4"/>
      <c r="U10" s="4"/>
      <c r="V10" s="4"/>
    </row>
    <row r="11" spans="1:22">
      <c r="A11" s="8" t="s">
        <v>31</v>
      </c>
      <c r="B11" s="9">
        <v>100</v>
      </c>
      <c r="C11" s="9">
        <v>117</v>
      </c>
      <c r="D11" s="9">
        <v>6</v>
      </c>
      <c r="E11" s="9">
        <v>63</v>
      </c>
      <c r="F11" s="9">
        <v>63</v>
      </c>
      <c r="G11" s="9">
        <f t="shared" si="0"/>
        <v>1134</v>
      </c>
      <c r="H11" s="10">
        <f t="shared" si="1"/>
        <v>42</v>
      </c>
      <c r="I11" s="9">
        <v>0</v>
      </c>
      <c r="J11" s="9">
        <v>1.5</v>
      </c>
      <c r="K11" s="9">
        <v>75</v>
      </c>
      <c r="L11" s="9">
        <v>1</v>
      </c>
      <c r="M11" s="9">
        <v>18</v>
      </c>
      <c r="N11" s="9">
        <v>10</v>
      </c>
      <c r="O11" s="9">
        <v>0</v>
      </c>
      <c r="P11" s="9" t="s">
        <v>32</v>
      </c>
      <c r="Q11" s="9">
        <v>600</v>
      </c>
      <c r="R11" s="12">
        <v>216</v>
      </c>
      <c r="S11" s="4"/>
      <c r="T11" s="4"/>
      <c r="U11" s="4"/>
      <c r="V11" s="4"/>
    </row>
    <row r="12" spans="1:22">
      <c r="A12" s="8" t="s">
        <v>33</v>
      </c>
      <c r="B12" s="13">
        <v>200</v>
      </c>
      <c r="C12" s="13">
        <v>4222</v>
      </c>
      <c r="D12" s="13">
        <v>9</v>
      </c>
      <c r="E12" s="13">
        <v>27</v>
      </c>
      <c r="F12" s="13">
        <v>27</v>
      </c>
      <c r="G12" s="9">
        <f t="shared" si="0"/>
        <v>81</v>
      </c>
      <c r="H12" s="10">
        <f t="shared" si="1"/>
        <v>270</v>
      </c>
      <c r="I12" s="13">
        <v>7</v>
      </c>
      <c r="J12" s="13">
        <v>0.1</v>
      </c>
      <c r="K12" s="13">
        <v>75</v>
      </c>
      <c r="L12" s="13">
        <v>0</v>
      </c>
      <c r="M12" s="13">
        <v>3</v>
      </c>
      <c r="N12" s="13">
        <v>10</v>
      </c>
      <c r="O12" s="13">
        <v>0</v>
      </c>
      <c r="P12" s="13" t="s">
        <v>34</v>
      </c>
      <c r="Q12" s="13">
        <v>1400</v>
      </c>
      <c r="R12" s="11">
        <v>402</v>
      </c>
      <c r="S12" s="4"/>
      <c r="T12" s="4"/>
      <c r="U12" s="4"/>
      <c r="V12" s="4"/>
    </row>
    <row r="13" spans="1:22">
      <c r="A13" s="8" t="s">
        <v>35</v>
      </c>
      <c r="B13" s="9">
        <v>200</v>
      </c>
      <c r="C13" s="9">
        <v>19297</v>
      </c>
      <c r="D13" s="9">
        <v>16</v>
      </c>
      <c r="E13" s="9">
        <v>3560</v>
      </c>
      <c r="F13" s="9">
        <v>3560</v>
      </c>
      <c r="G13" s="9">
        <f t="shared" si="0"/>
        <v>3560</v>
      </c>
      <c r="H13" s="10">
        <f t="shared" si="1"/>
        <v>3955.55555555556</v>
      </c>
      <c r="I13" s="9">
        <v>6</v>
      </c>
      <c r="J13" s="9">
        <v>0.9</v>
      </c>
      <c r="K13" s="9">
        <v>0</v>
      </c>
      <c r="L13" s="9">
        <v>0</v>
      </c>
      <c r="M13" s="9">
        <v>1</v>
      </c>
      <c r="N13" s="9">
        <v>9</v>
      </c>
      <c r="O13" s="9">
        <v>50</v>
      </c>
      <c r="P13" s="9">
        <v>200</v>
      </c>
      <c r="Q13" s="9">
        <v>1150</v>
      </c>
      <c r="R13" s="12">
        <v>400</v>
      </c>
      <c r="S13" s="4"/>
      <c r="T13" s="4"/>
      <c r="U13" s="4"/>
      <c r="V13" s="4"/>
    </row>
    <row r="14" ht="13" customHeight="1" spans="1:22">
      <c r="A14" s="8" t="s">
        <v>36</v>
      </c>
      <c r="B14" s="9">
        <v>200</v>
      </c>
      <c r="C14" s="9">
        <v>1149</v>
      </c>
      <c r="D14" s="9">
        <v>6</v>
      </c>
      <c r="E14" s="9">
        <v>772</v>
      </c>
      <c r="F14" s="9">
        <f>E14*4</f>
        <v>3088</v>
      </c>
      <c r="G14" s="9">
        <f t="shared" si="0"/>
        <v>12352</v>
      </c>
      <c r="H14" s="10">
        <f t="shared" si="1"/>
        <v>467.878787878788</v>
      </c>
      <c r="I14" s="9">
        <v>5.5</v>
      </c>
      <c r="J14" s="9">
        <v>6.6</v>
      </c>
      <c r="K14" s="9">
        <v>180</v>
      </c>
      <c r="L14" s="9">
        <v>0</v>
      </c>
      <c r="M14" s="9">
        <v>4</v>
      </c>
      <c r="N14" s="9">
        <v>10</v>
      </c>
      <c r="O14" s="9">
        <v>50</v>
      </c>
      <c r="P14" s="9" t="s">
        <v>37</v>
      </c>
      <c r="Q14" s="9">
        <v>1100</v>
      </c>
      <c r="R14" s="12">
        <v>400</v>
      </c>
      <c r="S14" s="4"/>
      <c r="T14" s="4"/>
      <c r="U14" s="4"/>
      <c r="V14" s="4"/>
    </row>
    <row r="15" spans="1:22">
      <c r="A15" s="8" t="s">
        <v>38</v>
      </c>
      <c r="B15" s="13">
        <v>200</v>
      </c>
      <c r="C15" s="13">
        <v>14886</v>
      </c>
      <c r="D15" s="13">
        <v>8</v>
      </c>
      <c r="E15" s="13">
        <v>6881</v>
      </c>
      <c r="F15" s="13">
        <v>6881</v>
      </c>
      <c r="G15" s="9">
        <f t="shared" si="0"/>
        <v>6881</v>
      </c>
      <c r="H15" s="10">
        <f t="shared" si="1"/>
        <v>2150.3125</v>
      </c>
      <c r="I15" s="13">
        <v>5</v>
      </c>
      <c r="J15" s="13">
        <v>3.2</v>
      </c>
      <c r="K15" s="13">
        <v>95</v>
      </c>
      <c r="L15" s="13">
        <v>0</v>
      </c>
      <c r="M15" s="13">
        <v>1</v>
      </c>
      <c r="N15" s="13">
        <v>9</v>
      </c>
      <c r="O15" s="13">
        <v>0</v>
      </c>
      <c r="P15" s="13">
        <v>200</v>
      </c>
      <c r="Q15" s="13">
        <v>1300</v>
      </c>
      <c r="R15" s="11">
        <v>400</v>
      </c>
      <c r="S15" s="4"/>
      <c r="T15" s="4"/>
      <c r="U15" s="4"/>
      <c r="V15" s="4"/>
    </row>
    <row r="16" spans="1:22">
      <c r="A16" s="8" t="s">
        <v>39</v>
      </c>
      <c r="B16" s="9">
        <v>200</v>
      </c>
      <c r="C16" s="9">
        <v>3478</v>
      </c>
      <c r="D16" s="9">
        <v>7</v>
      </c>
      <c r="E16" s="9">
        <v>608</v>
      </c>
      <c r="F16" s="9">
        <v>608</v>
      </c>
      <c r="G16" s="9">
        <f t="shared" si="0"/>
        <v>3040</v>
      </c>
      <c r="H16" s="10">
        <f t="shared" si="1"/>
        <v>135.111111111111</v>
      </c>
      <c r="I16" s="9">
        <v>5</v>
      </c>
      <c r="J16" s="9">
        <v>4.5</v>
      </c>
      <c r="K16" s="9">
        <v>95</v>
      </c>
      <c r="L16" s="9">
        <v>0</v>
      </c>
      <c r="M16" s="9">
        <v>5</v>
      </c>
      <c r="N16" s="9">
        <v>10</v>
      </c>
      <c r="O16" s="9">
        <v>0</v>
      </c>
      <c r="P16" s="9" t="s">
        <v>40</v>
      </c>
      <c r="Q16" s="9">
        <v>1300</v>
      </c>
      <c r="R16" s="12">
        <v>400</v>
      </c>
      <c r="S16" s="4"/>
      <c r="T16" s="4"/>
      <c r="U16" s="4"/>
      <c r="V16" s="4"/>
    </row>
    <row r="17" spans="1:22">
      <c r="A17" s="8" t="s">
        <v>41</v>
      </c>
      <c r="B17" s="9">
        <v>200</v>
      </c>
      <c r="C17" s="9">
        <v>14773</v>
      </c>
      <c r="D17" s="9">
        <v>8</v>
      </c>
      <c r="E17" s="9">
        <v>496</v>
      </c>
      <c r="F17" s="9">
        <v>496</v>
      </c>
      <c r="G17" s="9">
        <f t="shared" si="0"/>
        <v>496</v>
      </c>
      <c r="H17" s="10">
        <f t="shared" si="1"/>
        <v>826.666666666667</v>
      </c>
      <c r="I17" s="9">
        <v>5</v>
      </c>
      <c r="J17" s="9">
        <v>0.6</v>
      </c>
      <c r="K17" s="9">
        <v>80</v>
      </c>
      <c r="L17" s="9">
        <v>0.5</v>
      </c>
      <c r="M17" s="9">
        <v>1</v>
      </c>
      <c r="N17" s="9">
        <v>9</v>
      </c>
      <c r="O17" s="9">
        <v>0</v>
      </c>
      <c r="P17" s="9">
        <v>200</v>
      </c>
      <c r="Q17" s="9">
        <v>1500</v>
      </c>
      <c r="R17" s="12">
        <v>400</v>
      </c>
      <c r="S17" s="4"/>
      <c r="T17" s="4"/>
      <c r="U17" s="4"/>
      <c r="V17" s="4"/>
    </row>
    <row r="18" spans="1:22">
      <c r="A18" s="8" t="s">
        <v>42</v>
      </c>
      <c r="B18" s="9">
        <v>200</v>
      </c>
      <c r="C18" s="9">
        <v>3412</v>
      </c>
      <c r="D18" s="9">
        <v>16</v>
      </c>
      <c r="E18" s="9">
        <v>1087</v>
      </c>
      <c r="F18" s="9">
        <f>E18*2</f>
        <v>2174</v>
      </c>
      <c r="G18" s="9">
        <f t="shared" si="0"/>
        <v>6522</v>
      </c>
      <c r="H18" s="10">
        <f t="shared" si="1"/>
        <v>724.666666666667</v>
      </c>
      <c r="I18" s="9">
        <v>3</v>
      </c>
      <c r="J18" s="9">
        <v>3</v>
      </c>
      <c r="K18" s="9">
        <v>65</v>
      </c>
      <c r="L18" s="9">
        <v>1</v>
      </c>
      <c r="M18" s="9">
        <v>3</v>
      </c>
      <c r="N18" s="9">
        <v>10</v>
      </c>
      <c r="O18" s="9">
        <v>50</v>
      </c>
      <c r="P18" s="9" t="s">
        <v>34</v>
      </c>
      <c r="Q18" s="9">
        <v>1000</v>
      </c>
      <c r="R18" s="12">
        <v>408</v>
      </c>
      <c r="S18" s="4"/>
      <c r="T18" s="4"/>
      <c r="U18" s="4"/>
      <c r="V18" s="4"/>
    </row>
    <row r="19" spans="1:22">
      <c r="A19" s="8" t="s">
        <v>43</v>
      </c>
      <c r="B19" s="9">
        <v>200</v>
      </c>
      <c r="C19" s="9">
        <v>1491</v>
      </c>
      <c r="D19" s="9">
        <v>16</v>
      </c>
      <c r="E19" s="9">
        <v>2814</v>
      </c>
      <c r="F19" s="9">
        <v>2814</v>
      </c>
      <c r="G19" s="9">
        <f t="shared" si="0"/>
        <v>5628</v>
      </c>
      <c r="H19" s="10">
        <f t="shared" si="1"/>
        <v>827.647058823529</v>
      </c>
      <c r="I19" s="9">
        <v>0</v>
      </c>
      <c r="J19" s="9">
        <v>3.4</v>
      </c>
      <c r="K19" s="9">
        <v>120</v>
      </c>
      <c r="L19" s="9">
        <v>1</v>
      </c>
      <c r="M19" s="9">
        <v>2</v>
      </c>
      <c r="N19" s="9">
        <v>8</v>
      </c>
      <c r="O19" s="9">
        <v>50</v>
      </c>
      <c r="P19" s="9" t="s">
        <v>44</v>
      </c>
      <c r="Q19" s="9">
        <v>1300</v>
      </c>
      <c r="R19" s="12">
        <v>400</v>
      </c>
      <c r="S19" s="4"/>
      <c r="T19" s="4"/>
      <c r="U19" s="4"/>
      <c r="V19" s="4"/>
    </row>
    <row r="20" spans="1:22">
      <c r="A20" s="8" t="s">
        <v>45</v>
      </c>
      <c r="B20" s="13">
        <v>200</v>
      </c>
      <c r="C20" s="13">
        <v>4571</v>
      </c>
      <c r="D20" s="13">
        <v>16</v>
      </c>
      <c r="E20" s="13">
        <v>2605</v>
      </c>
      <c r="F20" s="13">
        <v>2605</v>
      </c>
      <c r="G20" s="9">
        <f t="shared" si="0"/>
        <v>10420</v>
      </c>
      <c r="H20" s="10">
        <f t="shared" si="1"/>
        <v>13025</v>
      </c>
      <c r="I20" s="13">
        <v>0</v>
      </c>
      <c r="J20" s="13">
        <v>0.2</v>
      </c>
      <c r="K20" s="13">
        <v>45</v>
      </c>
      <c r="L20" s="13">
        <v>0</v>
      </c>
      <c r="M20" s="13">
        <v>4</v>
      </c>
      <c r="N20" s="13">
        <v>10</v>
      </c>
      <c r="O20" s="13">
        <v>0</v>
      </c>
      <c r="P20" s="13" t="s">
        <v>40</v>
      </c>
      <c r="Q20" s="13">
        <v>1000</v>
      </c>
      <c r="R20" s="11">
        <v>400</v>
      </c>
      <c r="S20" s="4"/>
      <c r="T20" s="4"/>
      <c r="U20" s="4"/>
      <c r="V20" s="4"/>
    </row>
    <row r="21" spans="1:22">
      <c r="A21" s="8" t="s">
        <v>46</v>
      </c>
      <c r="B21" s="13">
        <v>200</v>
      </c>
      <c r="C21" s="13">
        <v>3249</v>
      </c>
      <c r="D21" s="13">
        <v>8</v>
      </c>
      <c r="E21" s="13">
        <v>600</v>
      </c>
      <c r="F21" s="13">
        <v>600</v>
      </c>
      <c r="G21" s="9">
        <f t="shared" si="0"/>
        <v>600</v>
      </c>
      <c r="H21" s="10">
        <f t="shared" si="1"/>
        <v>2000</v>
      </c>
      <c r="I21" s="13">
        <v>0</v>
      </c>
      <c r="J21" s="13">
        <v>0.3</v>
      </c>
      <c r="K21" s="13">
        <v>110</v>
      </c>
      <c r="L21" s="13">
        <v>0</v>
      </c>
      <c r="M21" s="13">
        <v>1</v>
      </c>
      <c r="N21" s="13">
        <v>9</v>
      </c>
      <c r="O21" s="13">
        <v>100</v>
      </c>
      <c r="P21" s="13">
        <v>200</v>
      </c>
      <c r="Q21" s="13">
        <v>560</v>
      </c>
      <c r="R21" s="11">
        <v>400</v>
      </c>
      <c r="S21" s="4"/>
      <c r="T21" s="4"/>
      <c r="U21" s="4"/>
      <c r="V21" s="4"/>
    </row>
    <row r="22" spans="1:22">
      <c r="A22" s="8" t="s">
        <v>47</v>
      </c>
      <c r="B22" s="13">
        <v>200</v>
      </c>
      <c r="C22" s="13">
        <v>311</v>
      </c>
      <c r="D22" s="13">
        <v>16</v>
      </c>
      <c r="E22" s="13">
        <v>202</v>
      </c>
      <c r="F22" s="13">
        <v>202</v>
      </c>
      <c r="G22" s="9">
        <f t="shared" si="0"/>
        <v>2424</v>
      </c>
      <c r="H22" s="10">
        <f t="shared" si="1"/>
        <v>144.285714285714</v>
      </c>
      <c r="I22" s="13">
        <v>0</v>
      </c>
      <c r="J22" s="13">
        <v>1.4</v>
      </c>
      <c r="K22" s="13">
        <v>50</v>
      </c>
      <c r="L22" s="13">
        <v>1</v>
      </c>
      <c r="M22" s="13">
        <v>12</v>
      </c>
      <c r="N22" s="13">
        <v>10</v>
      </c>
      <c r="O22" s="13">
        <v>50</v>
      </c>
      <c r="P22" s="13" t="s">
        <v>48</v>
      </c>
      <c r="Q22" s="13">
        <v>900</v>
      </c>
      <c r="R22" s="11">
        <v>408</v>
      </c>
      <c r="S22" s="4"/>
      <c r="T22" s="4"/>
      <c r="U22" s="4"/>
      <c r="V22" s="4"/>
    </row>
    <row r="23" spans="1:22">
      <c r="A23" s="8" t="s">
        <v>49</v>
      </c>
      <c r="B23" s="13">
        <v>200</v>
      </c>
      <c r="C23" s="13">
        <v>343</v>
      </c>
      <c r="D23" s="13">
        <v>16</v>
      </c>
      <c r="E23" s="13">
        <v>36</v>
      </c>
      <c r="F23" s="13">
        <v>36</v>
      </c>
      <c r="G23" s="9">
        <f t="shared" si="0"/>
        <v>432</v>
      </c>
      <c r="H23" s="10">
        <f t="shared" si="1"/>
        <v>90</v>
      </c>
      <c r="I23" s="13">
        <v>0</v>
      </c>
      <c r="J23" s="13">
        <v>0.4</v>
      </c>
      <c r="K23" s="13">
        <v>95</v>
      </c>
      <c r="L23" s="13">
        <v>1</v>
      </c>
      <c r="M23" s="13">
        <v>12</v>
      </c>
      <c r="N23" s="13">
        <v>10</v>
      </c>
      <c r="O23" s="13">
        <v>0</v>
      </c>
      <c r="P23" s="13" t="s">
        <v>48</v>
      </c>
      <c r="Q23" s="13">
        <v>1200</v>
      </c>
      <c r="R23" s="11">
        <v>408</v>
      </c>
      <c r="S23" s="4"/>
      <c r="T23" s="4"/>
      <c r="U23" s="4"/>
      <c r="V23" s="4"/>
    </row>
    <row r="24" spans="1:22">
      <c r="A24" s="8" t="s">
        <v>50</v>
      </c>
      <c r="B24" s="13">
        <v>300</v>
      </c>
      <c r="C24" s="13">
        <v>18632</v>
      </c>
      <c r="D24" s="13">
        <v>7</v>
      </c>
      <c r="E24" s="13">
        <v>10650</v>
      </c>
      <c r="F24" s="13">
        <v>10650</v>
      </c>
      <c r="G24" s="9">
        <f t="shared" si="0"/>
        <v>10650</v>
      </c>
      <c r="H24" s="10">
        <f t="shared" si="1"/>
        <v>2366.66666666667</v>
      </c>
      <c r="I24" s="13">
        <v>15</v>
      </c>
      <c r="J24" s="13">
        <v>4.5</v>
      </c>
      <c r="K24" s="13">
        <v>100</v>
      </c>
      <c r="L24" s="13">
        <v>0</v>
      </c>
      <c r="M24" s="13">
        <v>1</v>
      </c>
      <c r="N24" s="13">
        <v>9</v>
      </c>
      <c r="O24" s="13">
        <v>50</v>
      </c>
      <c r="P24" s="13">
        <v>250</v>
      </c>
      <c r="Q24" s="13">
        <v>1500</v>
      </c>
      <c r="R24" s="11">
        <v>600</v>
      </c>
      <c r="S24" s="4"/>
      <c r="T24" s="4"/>
      <c r="U24" s="4"/>
      <c r="V24" s="4"/>
    </row>
    <row r="25" spans="1:22">
      <c r="A25" s="8" t="s">
        <v>51</v>
      </c>
      <c r="B25" s="9">
        <v>300</v>
      </c>
      <c r="C25" s="9">
        <v>11991</v>
      </c>
      <c r="D25" s="9">
        <v>16</v>
      </c>
      <c r="E25" s="9">
        <v>1348</v>
      </c>
      <c r="F25" s="9">
        <f>E25*2</f>
        <v>2696</v>
      </c>
      <c r="G25" s="9">
        <f t="shared" si="0"/>
        <v>2696</v>
      </c>
      <c r="H25" s="10">
        <f t="shared" si="1"/>
        <v>1348</v>
      </c>
      <c r="I25" s="9">
        <v>8</v>
      </c>
      <c r="J25" s="9">
        <v>2</v>
      </c>
      <c r="K25" s="9">
        <v>125</v>
      </c>
      <c r="L25" s="9">
        <v>1</v>
      </c>
      <c r="M25" s="9">
        <v>1</v>
      </c>
      <c r="N25" s="9">
        <v>9</v>
      </c>
      <c r="O25" s="9">
        <v>50</v>
      </c>
      <c r="P25" s="9">
        <v>250</v>
      </c>
      <c r="Q25" s="9">
        <v>1800</v>
      </c>
      <c r="R25" s="12">
        <v>400</v>
      </c>
      <c r="S25" s="4"/>
      <c r="T25" s="4"/>
      <c r="U25" s="4"/>
      <c r="V25" s="4"/>
    </row>
    <row r="26" spans="1:22">
      <c r="A26" s="8" t="s">
        <v>52</v>
      </c>
      <c r="B26" s="9">
        <v>300</v>
      </c>
      <c r="C26" s="9">
        <v>14115</v>
      </c>
      <c r="D26" s="9">
        <v>10</v>
      </c>
      <c r="E26" s="9">
        <v>381</v>
      </c>
      <c r="F26" s="9">
        <f>E26*4</f>
        <v>1524</v>
      </c>
      <c r="G26" s="9">
        <f t="shared" si="0"/>
        <v>1524</v>
      </c>
      <c r="H26" s="10">
        <f t="shared" si="1"/>
        <v>762</v>
      </c>
      <c r="I26" s="9">
        <v>8</v>
      </c>
      <c r="J26" s="9">
        <v>2</v>
      </c>
      <c r="K26" s="9">
        <v>60</v>
      </c>
      <c r="L26" s="9">
        <v>1</v>
      </c>
      <c r="M26" s="9">
        <v>1</v>
      </c>
      <c r="N26" s="9">
        <v>9</v>
      </c>
      <c r="O26" s="9">
        <v>50</v>
      </c>
      <c r="P26" s="9">
        <v>250</v>
      </c>
      <c r="Q26" s="9">
        <v>2250</v>
      </c>
      <c r="R26" s="12">
        <v>600</v>
      </c>
      <c r="S26" s="4"/>
      <c r="T26" s="4"/>
      <c r="U26" s="4"/>
      <c r="V26" s="4"/>
    </row>
    <row r="27" spans="1:22">
      <c r="A27" s="8" t="s">
        <v>53</v>
      </c>
      <c r="B27" s="13">
        <v>300</v>
      </c>
      <c r="C27" s="13">
        <v>9529</v>
      </c>
      <c r="D27" s="13">
        <v>9</v>
      </c>
      <c r="E27" s="13">
        <v>88</v>
      </c>
      <c r="F27" s="13">
        <v>88</v>
      </c>
      <c r="G27" s="9">
        <f t="shared" si="0"/>
        <v>176</v>
      </c>
      <c r="H27" s="10">
        <f t="shared" si="1"/>
        <v>440</v>
      </c>
      <c r="I27" s="13">
        <v>5</v>
      </c>
      <c r="J27" s="13">
        <v>0.2</v>
      </c>
      <c r="K27" s="13">
        <v>100</v>
      </c>
      <c r="L27" s="13">
        <v>1</v>
      </c>
      <c r="M27" s="13">
        <v>2</v>
      </c>
      <c r="N27" s="13">
        <v>8</v>
      </c>
      <c r="O27" s="13">
        <v>50</v>
      </c>
      <c r="P27" s="13" t="s">
        <v>54</v>
      </c>
      <c r="Q27" s="13">
        <v>1950</v>
      </c>
      <c r="R27" s="11">
        <v>400</v>
      </c>
      <c r="S27" s="4"/>
      <c r="T27" s="4"/>
      <c r="U27" s="4"/>
      <c r="V27" s="4"/>
    </row>
    <row r="28" spans="1:22">
      <c r="A28" s="8" t="s">
        <v>55</v>
      </c>
      <c r="B28" s="9">
        <v>400</v>
      </c>
      <c r="C28" s="9">
        <v>30279</v>
      </c>
      <c r="D28" s="9">
        <v>6</v>
      </c>
      <c r="E28" s="9">
        <v>75</v>
      </c>
      <c r="F28" s="9">
        <v>75</v>
      </c>
      <c r="G28" s="9">
        <f t="shared" si="0"/>
        <v>75</v>
      </c>
      <c r="H28" s="10">
        <f t="shared" si="1"/>
        <v>750</v>
      </c>
      <c r="I28" s="9">
        <v>15</v>
      </c>
      <c r="J28" s="9">
        <v>0.1</v>
      </c>
      <c r="K28" s="9">
        <v>95</v>
      </c>
      <c r="L28" s="9">
        <v>0</v>
      </c>
      <c r="M28" s="9">
        <v>1</v>
      </c>
      <c r="N28" s="9">
        <v>16</v>
      </c>
      <c r="O28" s="9">
        <v>200</v>
      </c>
      <c r="P28" s="9">
        <v>350</v>
      </c>
      <c r="Q28" s="9">
        <v>2200</v>
      </c>
      <c r="R28" s="12">
        <v>800</v>
      </c>
      <c r="S28" s="4"/>
      <c r="T28" s="4"/>
      <c r="U28" s="4"/>
      <c r="V28" s="4"/>
    </row>
    <row r="29" spans="1:22">
      <c r="A29" s="8" t="s">
        <v>56</v>
      </c>
      <c r="B29" s="13">
        <v>400</v>
      </c>
      <c r="C29" s="13">
        <v>48645</v>
      </c>
      <c r="D29" s="13">
        <v>16</v>
      </c>
      <c r="E29" s="13">
        <v>9726</v>
      </c>
      <c r="F29" s="13">
        <v>9726</v>
      </c>
      <c r="G29" s="9">
        <f t="shared" si="0"/>
        <v>9726</v>
      </c>
      <c r="H29" s="10">
        <f t="shared" si="1"/>
        <v>3890.4</v>
      </c>
      <c r="I29" s="13">
        <v>12</v>
      </c>
      <c r="J29" s="13">
        <v>2.5</v>
      </c>
      <c r="K29" s="13">
        <v>0</v>
      </c>
      <c r="L29" s="13">
        <v>0.5</v>
      </c>
      <c r="M29" s="13">
        <v>1</v>
      </c>
      <c r="N29" s="13">
        <v>16</v>
      </c>
      <c r="O29" s="13">
        <v>200</v>
      </c>
      <c r="P29" s="13" t="s">
        <v>57</v>
      </c>
      <c r="Q29" s="13">
        <v>2000</v>
      </c>
      <c r="R29" s="11">
        <v>800</v>
      </c>
      <c r="S29" s="4"/>
      <c r="T29" s="4"/>
      <c r="U29" s="4"/>
      <c r="V29" s="4"/>
    </row>
    <row r="30" spans="1:22">
      <c r="A30" s="8" t="s">
        <v>58</v>
      </c>
      <c r="B30" s="9">
        <v>400</v>
      </c>
      <c r="C30" s="9">
        <v>43938</v>
      </c>
      <c r="D30" s="9">
        <v>6</v>
      </c>
      <c r="E30" s="9">
        <v>6524</v>
      </c>
      <c r="F30" s="9">
        <v>6524</v>
      </c>
      <c r="G30" s="9">
        <f t="shared" si="0"/>
        <v>6524</v>
      </c>
      <c r="H30" s="10">
        <f t="shared" si="1"/>
        <v>3624.44444444444</v>
      </c>
      <c r="I30" s="9">
        <v>5</v>
      </c>
      <c r="J30" s="9">
        <v>1.8</v>
      </c>
      <c r="K30" s="9">
        <v>100</v>
      </c>
      <c r="L30" s="9">
        <v>0</v>
      </c>
      <c r="M30" s="9">
        <v>1</v>
      </c>
      <c r="N30" s="9">
        <v>16</v>
      </c>
      <c r="O30" s="9">
        <v>200</v>
      </c>
      <c r="P30" s="9">
        <v>350</v>
      </c>
      <c r="Q30" s="9">
        <v>1600</v>
      </c>
      <c r="R30" s="12">
        <v>800</v>
      </c>
      <c r="S30" s="4"/>
      <c r="T30" s="4"/>
      <c r="U30" s="4"/>
      <c r="V30" s="4"/>
    </row>
    <row r="31" spans="1:22">
      <c r="A31" s="8" t="s">
        <v>59</v>
      </c>
      <c r="B31" s="9">
        <v>400</v>
      </c>
      <c r="C31" s="9">
        <v>30907</v>
      </c>
      <c r="D31" s="9">
        <v>6</v>
      </c>
      <c r="E31" s="9">
        <v>7952</v>
      </c>
      <c r="F31" s="9">
        <v>7952</v>
      </c>
      <c r="G31" s="9">
        <f t="shared" si="0"/>
        <v>7952</v>
      </c>
      <c r="H31" s="10">
        <f t="shared" si="1"/>
        <v>39760</v>
      </c>
      <c r="I31" s="9">
        <v>3</v>
      </c>
      <c r="J31" s="9">
        <v>0.2</v>
      </c>
      <c r="K31" s="9">
        <v>115</v>
      </c>
      <c r="L31" s="9">
        <v>1</v>
      </c>
      <c r="M31" s="9">
        <v>1</v>
      </c>
      <c r="N31" s="9">
        <v>16</v>
      </c>
      <c r="O31" s="9">
        <v>200</v>
      </c>
      <c r="P31" s="9">
        <v>350</v>
      </c>
      <c r="Q31" s="9">
        <v>1400</v>
      </c>
      <c r="R31" s="12">
        <v>800</v>
      </c>
      <c r="S31" s="4"/>
      <c r="T31" s="4"/>
      <c r="U31" s="4"/>
      <c r="V31" s="4"/>
    </row>
    <row r="32" spans="1:22">
      <c r="A32" s="8" t="s">
        <v>60</v>
      </c>
      <c r="B32" s="13">
        <v>400</v>
      </c>
      <c r="C32" s="13">
        <v>16065</v>
      </c>
      <c r="D32" s="13">
        <v>10</v>
      </c>
      <c r="E32" s="13">
        <v>5027</v>
      </c>
      <c r="F32" s="13">
        <v>5027</v>
      </c>
      <c r="G32" s="9">
        <f>F32*M32*3</f>
        <v>15081</v>
      </c>
      <c r="H32" s="10">
        <f t="shared" si="1"/>
        <v>1092.82608695652</v>
      </c>
      <c r="I32" s="13">
        <v>0</v>
      </c>
      <c r="J32" s="13">
        <v>4.6</v>
      </c>
      <c r="K32" s="13">
        <v>110</v>
      </c>
      <c r="L32" s="13">
        <v>1</v>
      </c>
      <c r="M32" s="13">
        <v>1</v>
      </c>
      <c r="N32" s="13">
        <v>16</v>
      </c>
      <c r="O32" s="13">
        <v>200</v>
      </c>
      <c r="P32" s="13">
        <v>350</v>
      </c>
      <c r="Q32" s="13">
        <v>2400</v>
      </c>
      <c r="R32" s="11">
        <v>800</v>
      </c>
      <c r="S32" s="4"/>
      <c r="T32" s="4"/>
      <c r="U32" s="4"/>
      <c r="V32" s="4"/>
    </row>
    <row r="33" spans="1:22">
      <c r="A33" s="8" t="s">
        <v>61</v>
      </c>
      <c r="B33" s="13">
        <v>500</v>
      </c>
      <c r="C33" s="13">
        <v>21339</v>
      </c>
      <c r="D33" s="13">
        <v>10</v>
      </c>
      <c r="E33" s="15">
        <v>4742</v>
      </c>
      <c r="F33" s="15">
        <f>E33*4</f>
        <v>18968</v>
      </c>
      <c r="G33" s="9">
        <f t="shared" si="0"/>
        <v>18968</v>
      </c>
      <c r="H33" s="10">
        <f t="shared" si="1"/>
        <v>4123.47826086957</v>
      </c>
      <c r="I33" s="13">
        <v>7</v>
      </c>
      <c r="J33" s="13">
        <v>4.6</v>
      </c>
      <c r="K33" s="13">
        <v>120</v>
      </c>
      <c r="L33" s="13">
        <v>1</v>
      </c>
      <c r="M33" s="13">
        <v>1</v>
      </c>
      <c r="N33" s="13">
        <v>25</v>
      </c>
      <c r="O33" s="13">
        <v>200</v>
      </c>
      <c r="P33" s="13">
        <v>400</v>
      </c>
      <c r="Q33" s="13">
        <v>1750</v>
      </c>
      <c r="R33" s="11">
        <v>1000</v>
      </c>
      <c r="S33" s="4"/>
      <c r="T33" s="4"/>
      <c r="U33" s="4"/>
      <c r="V33" s="4"/>
    </row>
    <row r="34" spans="1:22">
      <c r="A34" s="8" t="s">
        <v>62</v>
      </c>
      <c r="B34" s="9">
        <v>800</v>
      </c>
      <c r="C34" s="9">
        <v>66955</v>
      </c>
      <c r="D34" s="9">
        <v>10</v>
      </c>
      <c r="E34" s="16">
        <v>3859</v>
      </c>
      <c r="F34" s="16">
        <v>3859</v>
      </c>
      <c r="G34" s="9">
        <f>F34*M34*10</f>
        <v>38590</v>
      </c>
      <c r="H34" s="10">
        <f>G34/J34</f>
        <v>9647.5</v>
      </c>
      <c r="I34" s="9">
        <v>10</v>
      </c>
      <c r="J34" s="9">
        <v>4</v>
      </c>
      <c r="K34" s="9">
        <v>100</v>
      </c>
      <c r="L34" s="9">
        <v>1</v>
      </c>
      <c r="M34" s="9">
        <v>1</v>
      </c>
      <c r="N34" s="9">
        <v>49</v>
      </c>
      <c r="O34" s="9">
        <v>350</v>
      </c>
      <c r="P34" s="9">
        <v>500</v>
      </c>
      <c r="Q34" s="9">
        <v>4800</v>
      </c>
      <c r="R34" s="12">
        <v>1600</v>
      </c>
      <c r="S34" s="4"/>
      <c r="T34" s="4"/>
      <c r="U34" s="4"/>
      <c r="V34" s="4"/>
    </row>
    <row r="35" spans="1:22">
      <c r="A35" s="8" t="s">
        <v>63</v>
      </c>
      <c r="B35" s="9">
        <v>800</v>
      </c>
      <c r="C35" s="9">
        <v>136657</v>
      </c>
      <c r="D35" s="9">
        <v>6</v>
      </c>
      <c r="E35" s="16">
        <v>5899</v>
      </c>
      <c r="F35" s="16">
        <f>E35*4</f>
        <v>23596</v>
      </c>
      <c r="G35" s="9">
        <f t="shared" si="0"/>
        <v>23596</v>
      </c>
      <c r="H35" s="10">
        <f t="shared" si="1"/>
        <v>11798</v>
      </c>
      <c r="I35" s="9">
        <v>5</v>
      </c>
      <c r="J35" s="9">
        <v>2</v>
      </c>
      <c r="K35" s="9">
        <v>100</v>
      </c>
      <c r="L35" s="9">
        <v>0.5</v>
      </c>
      <c r="M35" s="9">
        <v>1</v>
      </c>
      <c r="N35" s="9">
        <v>49</v>
      </c>
      <c r="O35" s="9">
        <v>350</v>
      </c>
      <c r="P35" s="9">
        <v>500</v>
      </c>
      <c r="Q35" s="9">
        <v>3200</v>
      </c>
      <c r="R35" s="12">
        <v>1600</v>
      </c>
      <c r="S35" s="4"/>
      <c r="T35" s="4"/>
      <c r="U35" s="4"/>
      <c r="V35" s="4"/>
    </row>
    <row r="36" spans="1:22">
      <c r="A36" s="8" t="s">
        <v>64</v>
      </c>
      <c r="B36" s="13">
        <v>800</v>
      </c>
      <c r="C36" s="13">
        <v>113593</v>
      </c>
      <c r="D36" s="13">
        <v>6</v>
      </c>
      <c r="E36" s="15">
        <v>7520</v>
      </c>
      <c r="F36" s="15">
        <f>E36*2</f>
        <v>15040</v>
      </c>
      <c r="G36" s="9">
        <f t="shared" si="0"/>
        <v>15040</v>
      </c>
      <c r="H36" s="10">
        <f t="shared" si="1"/>
        <v>8355.55555555555</v>
      </c>
      <c r="I36" s="13">
        <v>4.5</v>
      </c>
      <c r="J36" s="13">
        <v>1.8</v>
      </c>
      <c r="K36" s="13">
        <v>100</v>
      </c>
      <c r="L36" s="13">
        <v>0</v>
      </c>
      <c r="M36" s="13">
        <v>1</v>
      </c>
      <c r="N36" s="13">
        <v>49</v>
      </c>
      <c r="O36" s="13">
        <v>350</v>
      </c>
      <c r="P36" s="13">
        <v>500</v>
      </c>
      <c r="Q36" s="13">
        <v>3200</v>
      </c>
      <c r="R36" s="11">
        <v>1600</v>
      </c>
      <c r="S36" s="4"/>
      <c r="T36" s="4"/>
      <c r="U36" s="4"/>
      <c r="V36" s="4"/>
    </row>
    <row r="37" spans="1:22">
      <c r="A37" s="8" t="s">
        <v>65</v>
      </c>
      <c r="B37" s="13">
        <v>800</v>
      </c>
      <c r="C37" s="13">
        <v>125512</v>
      </c>
      <c r="D37" s="13">
        <v>6</v>
      </c>
      <c r="E37" s="15">
        <v>9798</v>
      </c>
      <c r="F37" s="15">
        <v>9798</v>
      </c>
      <c r="G37" s="9">
        <f t="shared" si="0"/>
        <v>9798</v>
      </c>
      <c r="H37" s="10">
        <f t="shared" si="1"/>
        <v>48990</v>
      </c>
      <c r="I37" s="13">
        <v>3</v>
      </c>
      <c r="J37" s="13">
        <v>0.2</v>
      </c>
      <c r="K37" s="13">
        <v>115</v>
      </c>
      <c r="L37" s="13">
        <v>1</v>
      </c>
      <c r="M37" s="13">
        <v>1</v>
      </c>
      <c r="N37" s="13">
        <v>49</v>
      </c>
      <c r="O37" s="13" t="s">
        <v>66</v>
      </c>
      <c r="P37" s="13">
        <v>500</v>
      </c>
      <c r="Q37" s="13">
        <v>3200</v>
      </c>
      <c r="R37" s="11">
        <v>1600</v>
      </c>
      <c r="S37" s="4"/>
      <c r="T37" s="4"/>
      <c r="U37" s="4"/>
      <c r="V37" s="4"/>
    </row>
    <row r="38" ht="14.55" spans="1:22">
      <c r="A38" s="17" t="s">
        <v>67</v>
      </c>
      <c r="B38" s="18"/>
      <c r="C38" s="18"/>
      <c r="D38" s="18" t="s">
        <v>68</v>
      </c>
      <c r="E38" s="18"/>
      <c r="F38" s="18"/>
      <c r="G38" s="18"/>
      <c r="H38" s="19"/>
      <c r="I38" s="18"/>
      <c r="J38" s="18"/>
      <c r="K38" s="18"/>
      <c r="L38" s="18"/>
      <c r="M38" s="18"/>
      <c r="N38" s="18"/>
      <c r="O38" s="18"/>
      <c r="P38" s="18"/>
      <c r="Q38" s="18"/>
      <c r="R38" s="18" t="s">
        <v>69</v>
      </c>
      <c r="S38" s="4"/>
      <c r="T38" s="4"/>
      <c r="U38" s="4"/>
      <c r="V3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Yunqi WEN</dc:creator>
  <cp:lastModifiedBy>文志新</cp:lastModifiedBy>
  <dcterms:created xsi:type="dcterms:W3CDTF">2026-07-28T17:12:00Z</dcterms:created>
  <dcterms:modified xsi:type="dcterms:W3CDTF">2026-08-04T15:20:13Z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B19436AD93FE4FC1B607FC5235380B24_12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